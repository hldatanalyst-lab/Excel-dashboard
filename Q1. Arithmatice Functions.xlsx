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EXCELR CLASS\Excel Assignment\"/>
    </mc:Choice>
  </mc:AlternateContent>
  <xr:revisionPtr revIDLastSave="0" documentId="13_ncr:1_{EA5F218F-CCD2-4B86-B149-59789E9D08F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ithmatic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21" i="1" l="1"/>
  <c r="N12" i="1"/>
  <c r="N11" i="1"/>
  <c r="N10" i="1"/>
  <c r="N3" i="1"/>
  <c r="N6" i="1"/>
  <c r="N4" i="1"/>
  <c r="N7" i="1"/>
  <c r="N5" i="1"/>
</calcChain>
</file>

<file path=xl/sharedStrings.xml><?xml version="1.0" encoding="utf-8"?>
<sst xmlns="http://schemas.openxmlformats.org/spreadsheetml/2006/main" count="254" uniqueCount="111">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</sst>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quotePrefix="1" applyFont="1" applyBorder="1"/>
    <xf numFmtId="15" fontId="4" fillId="0" borderId="4" xfId="0" applyNumberFormat="1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topLeftCell="D1" workbookViewId="0">
      <selection activeCell="N22" sqref="N22"/>
    </sheetView>
  </sheetViews>
  <sheetFormatPr defaultColWidth="14.44140625" defaultRowHeight="15" customHeight="1" x14ac:dyDescent="0.3"/>
  <cols>
    <col min="1" max="1" width="8.6640625" customWidth="1"/>
    <col min="2" max="2" width="7.6640625" customWidth="1"/>
    <col min="3" max="3" width="12.44140625" customWidth="1"/>
    <col min="4" max="4" width="12.88671875" customWidth="1"/>
    <col min="5" max="5" width="14.88671875" customWidth="1"/>
    <col min="6" max="6" width="13.44140625" customWidth="1"/>
    <col min="7" max="7" width="10.88671875" customWidth="1"/>
    <col min="8" max="8" width="22.77734375" customWidth="1"/>
    <col min="9" max="9" width="8.6640625" customWidth="1"/>
    <col min="10" max="10" width="10.6640625" customWidth="1"/>
    <col min="11" max="12" width="8.6640625" customWidth="1"/>
    <col min="13" max="13" width="49.33203125" customWidth="1"/>
    <col min="14" max="14" width="18.109375" customWidth="1"/>
    <col min="15" max="26" width="8.6640625" customWidth="1"/>
  </cols>
  <sheetData>
    <row r="1" spans="2:14" ht="14.25" customHeight="1" x14ac:dyDescent="0.3"/>
    <row r="2" spans="2:14" ht="14.25" customHeight="1" x14ac:dyDescent="0.3">
      <c r="C2" s="1" t="s">
        <v>0</v>
      </c>
      <c r="D2" s="1"/>
      <c r="E2" s="1"/>
      <c r="F2" s="1"/>
      <c r="G2" s="1"/>
      <c r="H2" s="1"/>
      <c r="M2" s="10" t="s">
        <v>1</v>
      </c>
      <c r="N2" s="11"/>
    </row>
    <row r="3" spans="2:14" ht="14.25" customHeight="1" x14ac:dyDescent="0.3">
      <c r="C3" s="1" t="s">
        <v>2</v>
      </c>
      <c r="D3" s="1"/>
      <c r="E3" s="1"/>
      <c r="F3" s="1"/>
      <c r="G3" s="1"/>
      <c r="H3" s="1"/>
      <c r="M3" s="2" t="s">
        <v>3</v>
      </c>
      <c r="N3" s="3">
        <f>SUM(J6:J43)</f>
        <v>2191000</v>
      </c>
    </row>
    <row r="4" spans="2:14" ht="14.25" customHeight="1" x14ac:dyDescent="0.3">
      <c r="M4" s="2" t="s">
        <v>4</v>
      </c>
      <c r="N4">
        <f>AVERAGE(J6:J43)</f>
        <v>57657.894736842107</v>
      </c>
    </row>
    <row r="5" spans="2:14" ht="14.25" customHeight="1" x14ac:dyDescent="0.3"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M5" s="2" t="s">
        <v>14</v>
      </c>
      <c r="N5" s="3">
        <f>COUNT(B6:B43)</f>
        <v>38</v>
      </c>
    </row>
    <row r="6" spans="2:14" ht="14.25" customHeight="1" x14ac:dyDescent="0.3">
      <c r="B6" s="4">
        <v>150834</v>
      </c>
      <c r="C6" s="5" t="s">
        <v>15</v>
      </c>
      <c r="D6" s="5" t="s">
        <v>16</v>
      </c>
      <c r="E6" s="6">
        <v>31199</v>
      </c>
      <c r="F6" s="7" t="s">
        <v>17</v>
      </c>
      <c r="G6" s="5" t="s">
        <v>18</v>
      </c>
      <c r="H6" s="5" t="s">
        <v>19</v>
      </c>
      <c r="I6" s="5" t="s">
        <v>20</v>
      </c>
      <c r="J6" s="3">
        <v>48000</v>
      </c>
      <c r="M6" s="2" t="s">
        <v>21</v>
      </c>
      <c r="N6" s="3">
        <f>MAX(J6:J43)</f>
        <v>92000</v>
      </c>
    </row>
    <row r="7" spans="2:14" ht="14.25" customHeight="1" x14ac:dyDescent="0.3">
      <c r="B7" s="4">
        <v>150784</v>
      </c>
      <c r="C7" s="5" t="s">
        <v>22</v>
      </c>
      <c r="D7" s="5" t="s">
        <v>23</v>
      </c>
      <c r="E7" s="6">
        <v>28365</v>
      </c>
      <c r="F7" s="7" t="s">
        <v>17</v>
      </c>
      <c r="G7" s="5" t="s">
        <v>24</v>
      </c>
      <c r="H7" s="5" t="s">
        <v>25</v>
      </c>
      <c r="I7" s="5" t="s">
        <v>20</v>
      </c>
      <c r="J7" s="3">
        <v>35000</v>
      </c>
      <c r="M7" s="2" t="s">
        <v>26</v>
      </c>
      <c r="N7" s="3">
        <f>MIN(J6:J43)</f>
        <v>15000</v>
      </c>
    </row>
    <row r="8" spans="2:14" ht="14.25" customHeight="1" x14ac:dyDescent="0.3">
      <c r="B8" s="4">
        <v>150791</v>
      </c>
      <c r="C8" s="5" t="s">
        <v>27</v>
      </c>
      <c r="D8" s="5" t="s">
        <v>28</v>
      </c>
      <c r="E8" s="6">
        <v>23346</v>
      </c>
      <c r="F8" s="7" t="s">
        <v>17</v>
      </c>
      <c r="G8" s="5" t="s">
        <v>18</v>
      </c>
      <c r="H8" s="5" t="s">
        <v>25</v>
      </c>
      <c r="I8" s="5" t="s">
        <v>20</v>
      </c>
      <c r="J8" s="3">
        <v>67000</v>
      </c>
    </row>
    <row r="9" spans="2:14" ht="14.25" customHeight="1" x14ac:dyDescent="0.3">
      <c r="B9" s="4">
        <v>150940</v>
      </c>
      <c r="C9" s="5" t="s">
        <v>29</v>
      </c>
      <c r="D9" s="5" t="s">
        <v>30</v>
      </c>
      <c r="E9" s="6">
        <v>26906</v>
      </c>
      <c r="F9" s="7" t="s">
        <v>31</v>
      </c>
      <c r="G9" s="5" t="s">
        <v>24</v>
      </c>
      <c r="H9" s="5" t="s">
        <v>32</v>
      </c>
      <c r="I9" s="5" t="s">
        <v>33</v>
      </c>
      <c r="J9" s="3">
        <v>87000</v>
      </c>
      <c r="M9" s="10" t="s">
        <v>34</v>
      </c>
      <c r="N9" s="11"/>
    </row>
    <row r="10" spans="2:14" ht="14.25" customHeight="1" x14ac:dyDescent="0.3">
      <c r="B10" s="4">
        <v>150777</v>
      </c>
      <c r="C10" s="5" t="s">
        <v>35</v>
      </c>
      <c r="D10" s="5" t="s">
        <v>36</v>
      </c>
      <c r="E10" s="6">
        <v>21123</v>
      </c>
      <c r="F10" s="7" t="s">
        <v>31</v>
      </c>
      <c r="G10" s="5" t="s">
        <v>18</v>
      </c>
      <c r="H10" s="5" t="s">
        <v>37</v>
      </c>
      <c r="I10" s="5" t="s">
        <v>20</v>
      </c>
      <c r="J10" s="3">
        <v>22000</v>
      </c>
      <c r="M10" s="3" t="s">
        <v>38</v>
      </c>
      <c r="N10" s="3">
        <f>COUNTIF($I$6:$I$43,"North")</f>
        <v>10</v>
      </c>
    </row>
    <row r="11" spans="2:14" ht="14.25" customHeight="1" x14ac:dyDescent="0.3">
      <c r="B11" s="4">
        <v>150805</v>
      </c>
      <c r="C11" s="5" t="s">
        <v>27</v>
      </c>
      <c r="D11" s="5" t="s">
        <v>39</v>
      </c>
      <c r="E11" s="6">
        <v>26172</v>
      </c>
      <c r="F11" s="7" t="s">
        <v>31</v>
      </c>
      <c r="G11" s="5" t="s">
        <v>18</v>
      </c>
      <c r="H11" s="5" t="s">
        <v>40</v>
      </c>
      <c r="I11" s="5" t="s">
        <v>20</v>
      </c>
      <c r="J11" s="3">
        <v>91000</v>
      </c>
      <c r="M11" s="3" t="s">
        <v>41</v>
      </c>
      <c r="N11" s="3">
        <f>AVERAGEIFS($J$6:$J$43,$H$6:$H$43,"Sales",$I$6:$I$43,"North")</f>
        <v>52000</v>
      </c>
    </row>
    <row r="12" spans="2:14" ht="14.25" customHeight="1" x14ac:dyDescent="0.3">
      <c r="B12" s="4">
        <v>150990</v>
      </c>
      <c r="C12" s="5" t="s">
        <v>42</v>
      </c>
      <c r="D12" s="5" t="s">
        <v>43</v>
      </c>
      <c r="E12" s="6">
        <v>36400</v>
      </c>
      <c r="F12" s="7" t="s">
        <v>31</v>
      </c>
      <c r="G12" s="5" t="s">
        <v>18</v>
      </c>
      <c r="H12" s="5" t="s">
        <v>44</v>
      </c>
      <c r="I12" s="5" t="s">
        <v>45</v>
      </c>
      <c r="J12" s="3">
        <v>77000</v>
      </c>
      <c r="M12" s="3" t="s">
        <v>46</v>
      </c>
      <c r="N12" s="3">
        <f>_xlfn.MAXIFS($J$6:$J$43,$H$6:$H$43,"Digital Marketing")</f>
        <v>92000</v>
      </c>
    </row>
    <row r="13" spans="2:14" ht="14.25" customHeight="1" x14ac:dyDescent="0.3">
      <c r="B13" s="4">
        <v>150989</v>
      </c>
      <c r="C13" s="5" t="s">
        <v>47</v>
      </c>
      <c r="D13" s="5" t="s">
        <v>43</v>
      </c>
      <c r="E13" s="6">
        <v>33113</v>
      </c>
      <c r="F13" s="7" t="s">
        <v>31</v>
      </c>
      <c r="G13" s="5" t="s">
        <v>18</v>
      </c>
      <c r="H13" s="5" t="s">
        <v>25</v>
      </c>
      <c r="I13" s="5" t="s">
        <v>45</v>
      </c>
      <c r="J13" s="3">
        <v>45000</v>
      </c>
      <c r="N13" s="8"/>
    </row>
    <row r="14" spans="2:14" ht="14.25" customHeight="1" x14ac:dyDescent="0.3">
      <c r="B14" s="4">
        <v>150881</v>
      </c>
      <c r="C14" s="5" t="s">
        <v>48</v>
      </c>
      <c r="D14" s="5" t="s">
        <v>49</v>
      </c>
      <c r="E14" s="6">
        <v>30337</v>
      </c>
      <c r="F14" s="7" t="s">
        <v>31</v>
      </c>
      <c r="G14" s="5" t="s">
        <v>24</v>
      </c>
      <c r="H14" s="5" t="s">
        <v>25</v>
      </c>
      <c r="I14" s="5" t="s">
        <v>50</v>
      </c>
      <c r="J14" s="3">
        <v>92000</v>
      </c>
      <c r="N14" s="8"/>
    </row>
    <row r="15" spans="2:14" ht="14.25" customHeight="1" x14ac:dyDescent="0.3">
      <c r="B15" s="4">
        <v>150814</v>
      </c>
      <c r="C15" s="5" t="s">
        <v>51</v>
      </c>
      <c r="D15" s="5" t="s">
        <v>52</v>
      </c>
      <c r="E15" s="6">
        <v>26246</v>
      </c>
      <c r="F15" s="7" t="s">
        <v>31</v>
      </c>
      <c r="G15" s="5" t="s">
        <v>18</v>
      </c>
      <c r="H15" s="5" t="s">
        <v>32</v>
      </c>
      <c r="I15" s="5" t="s">
        <v>20</v>
      </c>
      <c r="J15" s="3">
        <v>50000</v>
      </c>
      <c r="M15" s="8"/>
      <c r="N15" s="8"/>
    </row>
    <row r="16" spans="2:14" ht="14.25" customHeight="1" x14ac:dyDescent="0.3">
      <c r="B16" s="4">
        <v>150937</v>
      </c>
      <c r="C16" s="5" t="s">
        <v>53</v>
      </c>
      <c r="D16" s="5" t="s">
        <v>54</v>
      </c>
      <c r="E16" s="6">
        <v>24700</v>
      </c>
      <c r="F16" s="7" t="s">
        <v>31</v>
      </c>
      <c r="G16" s="5" t="s">
        <v>18</v>
      </c>
      <c r="H16" s="5" t="s">
        <v>44</v>
      </c>
      <c r="I16" s="5" t="s">
        <v>33</v>
      </c>
      <c r="J16" s="3">
        <v>37000</v>
      </c>
    </row>
    <row r="17" spans="2:14" ht="14.25" customHeight="1" x14ac:dyDescent="0.3">
      <c r="B17" s="4">
        <v>150888</v>
      </c>
      <c r="C17" s="5" t="s">
        <v>55</v>
      </c>
      <c r="D17" s="5" t="s">
        <v>56</v>
      </c>
      <c r="E17" s="6">
        <v>29221</v>
      </c>
      <c r="F17" s="7" t="s">
        <v>31</v>
      </c>
      <c r="G17" s="5" t="s">
        <v>18</v>
      </c>
      <c r="H17" s="5" t="s">
        <v>44</v>
      </c>
      <c r="I17" s="5" t="s">
        <v>50</v>
      </c>
      <c r="J17" s="3">
        <v>43000</v>
      </c>
      <c r="M17" s="9" t="s">
        <v>57</v>
      </c>
    </row>
    <row r="18" spans="2:14" ht="14.25" customHeight="1" x14ac:dyDescent="0.3">
      <c r="B18" s="4">
        <v>150865</v>
      </c>
      <c r="C18" s="5" t="s">
        <v>58</v>
      </c>
      <c r="D18" s="5" t="s">
        <v>56</v>
      </c>
      <c r="E18" s="6">
        <v>31279</v>
      </c>
      <c r="F18" s="7" t="s">
        <v>17</v>
      </c>
      <c r="G18" s="5" t="s">
        <v>18</v>
      </c>
      <c r="H18" s="5" t="s">
        <v>59</v>
      </c>
      <c r="I18" s="5" t="s">
        <v>50</v>
      </c>
      <c r="J18" s="3">
        <v>90000</v>
      </c>
    </row>
    <row r="19" spans="2:14" ht="14.25" customHeight="1" x14ac:dyDescent="0.3">
      <c r="B19" s="4">
        <v>150858</v>
      </c>
      <c r="C19" s="5" t="s">
        <v>60</v>
      </c>
      <c r="D19" s="5" t="s">
        <v>61</v>
      </c>
      <c r="E19" s="6">
        <v>34846</v>
      </c>
      <c r="F19" s="7" t="s">
        <v>31</v>
      </c>
      <c r="G19" s="5" t="s">
        <v>18</v>
      </c>
      <c r="H19" s="5" t="s">
        <v>62</v>
      </c>
      <c r="I19" s="5" t="s">
        <v>50</v>
      </c>
      <c r="J19" s="3">
        <v>34000</v>
      </c>
      <c r="M19" s="10" t="s">
        <v>110</v>
      </c>
      <c r="N19" s="11"/>
    </row>
    <row r="20" spans="2:14" ht="14.25" customHeight="1" x14ac:dyDescent="0.3">
      <c r="B20" s="4">
        <v>150930</v>
      </c>
      <c r="C20" s="5" t="s">
        <v>63</v>
      </c>
      <c r="D20" s="5" t="s">
        <v>64</v>
      </c>
      <c r="E20" s="6">
        <v>37027</v>
      </c>
      <c r="F20" s="7" t="s">
        <v>31</v>
      </c>
      <c r="G20" s="5" t="s">
        <v>18</v>
      </c>
      <c r="H20" s="5" t="s">
        <v>25</v>
      </c>
      <c r="I20" s="5" t="s">
        <v>33</v>
      </c>
      <c r="J20" s="3">
        <v>82000</v>
      </c>
      <c r="M20" s="2" t="s">
        <v>65</v>
      </c>
      <c r="N20" s="2" t="s">
        <v>20</v>
      </c>
    </row>
    <row r="21" spans="2:14" ht="14.25" customHeight="1" x14ac:dyDescent="0.3">
      <c r="B21" s="4">
        <v>150894</v>
      </c>
      <c r="C21" s="5" t="s">
        <v>66</v>
      </c>
      <c r="D21" s="5" t="s">
        <v>67</v>
      </c>
      <c r="E21" s="6">
        <v>37124</v>
      </c>
      <c r="F21" s="7" t="s">
        <v>31</v>
      </c>
      <c r="G21" s="5" t="s">
        <v>18</v>
      </c>
      <c r="H21" s="5" t="s">
        <v>32</v>
      </c>
      <c r="I21" s="5" t="s">
        <v>33</v>
      </c>
      <c r="J21" s="3">
        <v>67000</v>
      </c>
      <c r="M21" s="5" t="s">
        <v>19</v>
      </c>
      <c r="N21" s="3">
        <f>SUMIFS($J$5:$J$43,$H$5:$H$43,"FLM",$I$5:$I$43,"North")</f>
        <v>48000</v>
      </c>
    </row>
    <row r="22" spans="2:14" ht="14.25" customHeight="1" x14ac:dyDescent="0.3">
      <c r="B22" s="4">
        <v>150947</v>
      </c>
      <c r="C22" s="5" t="s">
        <v>68</v>
      </c>
      <c r="D22" s="5" t="s">
        <v>69</v>
      </c>
      <c r="E22" s="6">
        <v>33449</v>
      </c>
      <c r="F22" s="7" t="s">
        <v>17</v>
      </c>
      <c r="G22" s="5" t="s">
        <v>18</v>
      </c>
      <c r="H22" s="5" t="s">
        <v>62</v>
      </c>
      <c r="I22" s="5" t="s">
        <v>33</v>
      </c>
      <c r="J22" s="3">
        <v>85000</v>
      </c>
      <c r="M22" s="8"/>
      <c r="N22" s="8"/>
    </row>
    <row r="23" spans="2:14" ht="14.25" customHeight="1" x14ac:dyDescent="0.3">
      <c r="B23" s="4">
        <v>150905</v>
      </c>
      <c r="C23" s="5" t="s">
        <v>70</v>
      </c>
      <c r="D23" s="5" t="s">
        <v>71</v>
      </c>
      <c r="E23" s="6">
        <v>30819</v>
      </c>
      <c r="F23" s="7" t="s">
        <v>17</v>
      </c>
      <c r="G23" s="5" t="s">
        <v>24</v>
      </c>
      <c r="H23" s="5" t="s">
        <v>19</v>
      </c>
      <c r="I23" s="5" t="s">
        <v>33</v>
      </c>
      <c r="J23" s="3">
        <v>62000</v>
      </c>
      <c r="M23" s="8"/>
      <c r="N23" s="8"/>
    </row>
    <row r="24" spans="2:14" ht="14.25" customHeight="1" x14ac:dyDescent="0.3">
      <c r="B24" s="4">
        <v>150995</v>
      </c>
      <c r="C24" s="5" t="s">
        <v>72</v>
      </c>
      <c r="D24" s="5" t="s">
        <v>73</v>
      </c>
      <c r="E24" s="6">
        <v>35330</v>
      </c>
      <c r="F24" s="7" t="s">
        <v>31</v>
      </c>
      <c r="G24" s="5" t="s">
        <v>18</v>
      </c>
      <c r="H24" s="5" t="s">
        <v>32</v>
      </c>
      <c r="I24" s="5" t="s">
        <v>45</v>
      </c>
      <c r="J24" s="3">
        <v>15000</v>
      </c>
      <c r="M24" s="8"/>
      <c r="N24" s="8"/>
    </row>
    <row r="25" spans="2:14" ht="14.25" customHeight="1" x14ac:dyDescent="0.3">
      <c r="B25" s="4">
        <v>150912</v>
      </c>
      <c r="C25" s="5" t="s">
        <v>74</v>
      </c>
      <c r="D25" s="5" t="s">
        <v>75</v>
      </c>
      <c r="E25" s="6">
        <v>37629</v>
      </c>
      <c r="F25" s="7" t="s">
        <v>17</v>
      </c>
      <c r="G25" s="5" t="s">
        <v>18</v>
      </c>
      <c r="H25" s="5" t="s">
        <v>76</v>
      </c>
      <c r="I25" s="5" t="s">
        <v>33</v>
      </c>
      <c r="J25" s="3">
        <v>81000</v>
      </c>
      <c r="M25" s="8"/>
      <c r="N25" s="8"/>
    </row>
    <row r="26" spans="2:14" ht="14.25" customHeight="1" x14ac:dyDescent="0.3">
      <c r="B26" s="4">
        <v>150921</v>
      </c>
      <c r="C26" s="5" t="s">
        <v>77</v>
      </c>
      <c r="D26" s="5" t="s">
        <v>78</v>
      </c>
      <c r="E26" s="6">
        <v>38092</v>
      </c>
      <c r="F26" s="7" t="s">
        <v>31</v>
      </c>
      <c r="G26" s="5" t="s">
        <v>18</v>
      </c>
      <c r="H26" s="5" t="s">
        <v>79</v>
      </c>
      <c r="I26" s="5" t="s">
        <v>33</v>
      </c>
      <c r="J26" s="3">
        <v>19000</v>
      </c>
      <c r="M26" s="8"/>
      <c r="N26" s="8"/>
    </row>
    <row r="27" spans="2:14" ht="14.25" customHeight="1" x14ac:dyDescent="0.3">
      <c r="B27" s="4">
        <v>150851</v>
      </c>
      <c r="C27" s="5" t="s">
        <v>80</v>
      </c>
      <c r="D27" s="5" t="s">
        <v>81</v>
      </c>
      <c r="E27" s="6">
        <v>29368</v>
      </c>
      <c r="F27" s="7" t="s">
        <v>31</v>
      </c>
      <c r="G27" s="5" t="s">
        <v>24</v>
      </c>
      <c r="H27" s="5" t="s">
        <v>32</v>
      </c>
      <c r="I27" s="5" t="s">
        <v>50</v>
      </c>
      <c r="J27" s="3">
        <v>75000</v>
      </c>
      <c r="M27" s="8"/>
      <c r="N27" s="8"/>
    </row>
    <row r="28" spans="2:14" ht="14.25" customHeight="1" x14ac:dyDescent="0.3">
      <c r="B28" s="4">
        <v>150867</v>
      </c>
      <c r="C28" s="5" t="s">
        <v>82</v>
      </c>
      <c r="D28" s="5" t="s">
        <v>83</v>
      </c>
      <c r="E28" s="6">
        <v>29028</v>
      </c>
      <c r="F28" s="7" t="s">
        <v>17</v>
      </c>
      <c r="G28" s="5" t="s">
        <v>24</v>
      </c>
      <c r="H28" s="5" t="s">
        <v>79</v>
      </c>
      <c r="I28" s="5" t="s">
        <v>50</v>
      </c>
      <c r="J28" s="3">
        <v>49000</v>
      </c>
      <c r="M28" s="8"/>
      <c r="N28" s="8"/>
    </row>
    <row r="29" spans="2:14" ht="14.25" customHeight="1" x14ac:dyDescent="0.3">
      <c r="B29" s="4">
        <v>150899</v>
      </c>
      <c r="C29" s="5" t="s">
        <v>84</v>
      </c>
      <c r="D29" s="5" t="s">
        <v>85</v>
      </c>
      <c r="E29" s="6">
        <v>37400</v>
      </c>
      <c r="F29" s="7" t="s">
        <v>31</v>
      </c>
      <c r="G29" s="5" t="s">
        <v>18</v>
      </c>
      <c r="H29" s="5" t="s">
        <v>62</v>
      </c>
      <c r="I29" s="5" t="s">
        <v>33</v>
      </c>
      <c r="J29" s="3">
        <v>50000</v>
      </c>
      <c r="M29" s="8"/>
      <c r="N29" s="8"/>
    </row>
    <row r="30" spans="2:14" ht="14.25" customHeight="1" x14ac:dyDescent="0.3">
      <c r="B30" s="4">
        <v>150975</v>
      </c>
      <c r="C30" s="5" t="s">
        <v>86</v>
      </c>
      <c r="D30" s="5" t="s">
        <v>87</v>
      </c>
      <c r="E30" s="6">
        <v>31478</v>
      </c>
      <c r="F30" s="7" t="s">
        <v>31</v>
      </c>
      <c r="G30" s="5" t="s">
        <v>18</v>
      </c>
      <c r="H30" s="5" t="s">
        <v>79</v>
      </c>
      <c r="I30" s="5" t="s">
        <v>45</v>
      </c>
      <c r="J30" s="3">
        <v>83000</v>
      </c>
      <c r="M30" s="8"/>
      <c r="N30" s="8"/>
    </row>
    <row r="31" spans="2:14" ht="14.25" customHeight="1" x14ac:dyDescent="0.3">
      <c r="B31" s="4">
        <v>150901</v>
      </c>
      <c r="C31" s="5" t="s">
        <v>88</v>
      </c>
      <c r="D31" s="5" t="s">
        <v>89</v>
      </c>
      <c r="E31" s="6">
        <v>32946</v>
      </c>
      <c r="F31" s="7" t="s">
        <v>17</v>
      </c>
      <c r="G31" s="5" t="s">
        <v>18</v>
      </c>
      <c r="H31" s="5" t="s">
        <v>90</v>
      </c>
      <c r="I31" s="5" t="s">
        <v>33</v>
      </c>
      <c r="J31" s="3">
        <v>53000</v>
      </c>
      <c r="M31" s="8"/>
      <c r="N31" s="8"/>
    </row>
    <row r="32" spans="2:14" ht="14.25" customHeight="1" x14ac:dyDescent="0.3">
      <c r="B32" s="4">
        <v>150968</v>
      </c>
      <c r="C32" s="5" t="s">
        <v>91</v>
      </c>
      <c r="D32" s="5" t="s">
        <v>92</v>
      </c>
      <c r="E32" s="6">
        <v>37208</v>
      </c>
      <c r="F32" s="7" t="s">
        <v>31</v>
      </c>
      <c r="G32" s="5" t="s">
        <v>18</v>
      </c>
      <c r="H32" s="5" t="s">
        <v>76</v>
      </c>
      <c r="I32" s="5" t="s">
        <v>33</v>
      </c>
      <c r="J32" s="3">
        <v>65000</v>
      </c>
    </row>
    <row r="33" spans="2:10" ht="14.25" customHeight="1" x14ac:dyDescent="0.3">
      <c r="B33" s="4">
        <v>150773</v>
      </c>
      <c r="C33" s="5" t="s">
        <v>93</v>
      </c>
      <c r="D33" s="5" t="s">
        <v>94</v>
      </c>
      <c r="E33" s="6">
        <v>26860</v>
      </c>
      <c r="F33" s="7" t="s">
        <v>31</v>
      </c>
      <c r="G33" s="5" t="s">
        <v>18</v>
      </c>
      <c r="H33" s="5" t="s">
        <v>79</v>
      </c>
      <c r="I33" s="5" t="s">
        <v>20</v>
      </c>
      <c r="J33" s="3">
        <v>85000</v>
      </c>
    </row>
    <row r="34" spans="2:10" ht="14.25" customHeight="1" x14ac:dyDescent="0.3">
      <c r="B34" s="4">
        <v>150840</v>
      </c>
      <c r="C34" s="5" t="s">
        <v>63</v>
      </c>
      <c r="D34" s="5" t="s">
        <v>95</v>
      </c>
      <c r="E34" s="6">
        <v>23136</v>
      </c>
      <c r="F34" s="7" t="s">
        <v>17</v>
      </c>
      <c r="G34" s="5" t="s">
        <v>18</v>
      </c>
      <c r="H34" s="5" t="s">
        <v>32</v>
      </c>
      <c r="I34" s="5" t="s">
        <v>50</v>
      </c>
      <c r="J34" s="3">
        <v>20000</v>
      </c>
    </row>
    <row r="35" spans="2:10" ht="14.25" customHeight="1" x14ac:dyDescent="0.3">
      <c r="B35" s="4">
        <v>150850</v>
      </c>
      <c r="C35" s="5" t="s">
        <v>53</v>
      </c>
      <c r="D35" s="5" t="s">
        <v>96</v>
      </c>
      <c r="E35" s="6">
        <v>32027</v>
      </c>
      <c r="F35" s="7" t="s">
        <v>31</v>
      </c>
      <c r="G35" s="5" t="s">
        <v>18</v>
      </c>
      <c r="H35" s="5" t="s">
        <v>62</v>
      </c>
      <c r="I35" s="5" t="s">
        <v>50</v>
      </c>
      <c r="J35" s="3">
        <v>47000</v>
      </c>
    </row>
    <row r="36" spans="2:10" ht="14.25" customHeight="1" x14ac:dyDescent="0.3">
      <c r="B36" s="4">
        <v>150962</v>
      </c>
      <c r="C36" s="5" t="s">
        <v>97</v>
      </c>
      <c r="D36" s="5" t="s">
        <v>98</v>
      </c>
      <c r="E36" s="6">
        <v>37773</v>
      </c>
      <c r="F36" s="7" t="s">
        <v>17</v>
      </c>
      <c r="G36" s="5" t="s">
        <v>18</v>
      </c>
      <c r="H36" s="5" t="s">
        <v>40</v>
      </c>
      <c r="I36" s="5" t="s">
        <v>33</v>
      </c>
      <c r="J36" s="3">
        <v>87000</v>
      </c>
    </row>
    <row r="37" spans="2:10" ht="14.25" customHeight="1" x14ac:dyDescent="0.3">
      <c r="B37" s="4">
        <v>150954</v>
      </c>
      <c r="C37" s="5" t="s">
        <v>99</v>
      </c>
      <c r="D37" s="5" t="s">
        <v>98</v>
      </c>
      <c r="E37" s="6">
        <v>35495</v>
      </c>
      <c r="F37" s="7" t="s">
        <v>17</v>
      </c>
      <c r="G37" s="5" t="s">
        <v>18</v>
      </c>
      <c r="H37" s="5" t="s">
        <v>90</v>
      </c>
      <c r="I37" s="5" t="s">
        <v>33</v>
      </c>
      <c r="J37" s="3">
        <v>57000</v>
      </c>
    </row>
    <row r="38" spans="2:10" ht="14.25" customHeight="1" x14ac:dyDescent="0.3">
      <c r="B38" s="4">
        <v>150874</v>
      </c>
      <c r="C38" s="5" t="s">
        <v>100</v>
      </c>
      <c r="D38" s="5" t="s">
        <v>98</v>
      </c>
      <c r="E38" s="6">
        <v>37890</v>
      </c>
      <c r="F38" s="7" t="s">
        <v>17</v>
      </c>
      <c r="G38" s="5" t="s">
        <v>18</v>
      </c>
      <c r="H38" s="5" t="s">
        <v>37</v>
      </c>
      <c r="I38" s="5" t="s">
        <v>50</v>
      </c>
      <c r="J38" s="3">
        <v>27000</v>
      </c>
    </row>
    <row r="39" spans="2:10" ht="14.25" customHeight="1" x14ac:dyDescent="0.3">
      <c r="B39" s="4">
        <v>150798</v>
      </c>
      <c r="C39" s="5" t="s">
        <v>101</v>
      </c>
      <c r="D39" s="5" t="s">
        <v>98</v>
      </c>
      <c r="E39" s="6">
        <v>28276</v>
      </c>
      <c r="F39" s="7" t="s">
        <v>17</v>
      </c>
      <c r="G39" s="5" t="s">
        <v>18</v>
      </c>
      <c r="H39" s="5" t="s">
        <v>25</v>
      </c>
      <c r="I39" s="5" t="s">
        <v>20</v>
      </c>
      <c r="J39" s="3">
        <v>81000</v>
      </c>
    </row>
    <row r="40" spans="2:10" ht="14.25" customHeight="1" x14ac:dyDescent="0.3">
      <c r="B40" s="4">
        <v>150830</v>
      </c>
      <c r="C40" s="5" t="s">
        <v>102</v>
      </c>
      <c r="D40" s="5" t="s">
        <v>103</v>
      </c>
      <c r="E40" s="6">
        <v>29037</v>
      </c>
      <c r="F40" s="7" t="s">
        <v>17</v>
      </c>
      <c r="G40" s="5" t="s">
        <v>18</v>
      </c>
      <c r="H40" s="5" t="s">
        <v>90</v>
      </c>
      <c r="I40" s="5" t="s">
        <v>20</v>
      </c>
      <c r="J40" s="3">
        <v>52000</v>
      </c>
    </row>
    <row r="41" spans="2:10" ht="14.25" customHeight="1" x14ac:dyDescent="0.3">
      <c r="B41" s="4">
        <v>150929</v>
      </c>
      <c r="C41" s="5" t="s">
        <v>104</v>
      </c>
      <c r="D41" s="5" t="s">
        <v>105</v>
      </c>
      <c r="E41" s="6">
        <v>26739</v>
      </c>
      <c r="F41" s="7" t="s">
        <v>31</v>
      </c>
      <c r="G41" s="5" t="s">
        <v>18</v>
      </c>
      <c r="H41" s="5" t="s">
        <v>37</v>
      </c>
      <c r="I41" s="5" t="s">
        <v>33</v>
      </c>
      <c r="J41" s="3">
        <v>58000</v>
      </c>
    </row>
    <row r="42" spans="2:10" ht="14.25" customHeight="1" x14ac:dyDescent="0.3">
      <c r="B42" s="4">
        <v>150982</v>
      </c>
      <c r="C42" s="5" t="s">
        <v>106</v>
      </c>
      <c r="D42" s="5" t="s">
        <v>107</v>
      </c>
      <c r="E42" s="6">
        <v>35574</v>
      </c>
      <c r="F42" s="7" t="s">
        <v>31</v>
      </c>
      <c r="G42" s="5" t="s">
        <v>18</v>
      </c>
      <c r="H42" s="5" t="s">
        <v>37</v>
      </c>
      <c r="I42" s="5" t="s">
        <v>45</v>
      </c>
      <c r="J42" s="3">
        <v>47000</v>
      </c>
    </row>
    <row r="43" spans="2:10" ht="14.25" customHeight="1" x14ac:dyDescent="0.3">
      <c r="B43" s="4">
        <v>150821</v>
      </c>
      <c r="C43" s="5" t="s">
        <v>108</v>
      </c>
      <c r="D43" s="5" t="s">
        <v>109</v>
      </c>
      <c r="E43" s="6">
        <v>29966</v>
      </c>
      <c r="F43" s="7" t="s">
        <v>31</v>
      </c>
      <c r="G43" s="5" t="s">
        <v>24</v>
      </c>
      <c r="H43" s="5" t="s">
        <v>62</v>
      </c>
      <c r="I43" s="5" t="s">
        <v>20</v>
      </c>
      <c r="J43" s="3">
        <v>26000</v>
      </c>
    </row>
    <row r="44" spans="2:10" ht="14.25" customHeight="1" x14ac:dyDescent="0.3"/>
    <row r="45" spans="2:10" ht="14.25" customHeight="1" x14ac:dyDescent="0.3"/>
    <row r="46" spans="2:10" ht="14.25" customHeight="1" x14ac:dyDescent="0.3"/>
    <row r="47" spans="2:10" ht="14.25" customHeight="1" x14ac:dyDescent="0.3"/>
    <row r="48" spans="2:10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Harshad Londhe</cp:lastModifiedBy>
  <dcterms:created xsi:type="dcterms:W3CDTF">2022-07-27T05:54:27Z</dcterms:created>
  <dcterms:modified xsi:type="dcterms:W3CDTF">2025-06-26T09:22:33Z</dcterms:modified>
</cp:coreProperties>
</file>